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hidePivotFieldList="1"/>
  <xr:revisionPtr revIDLastSave="394" documentId="13_ncr:1_{347F9643-784F-4EDC-BF8D-ED36E4BFB906}" xr6:coauthVersionLast="47" xr6:coauthVersionMax="47" xr10:uidLastSave="{F624F895-4C88-4812-9781-B8FB2344BA12}"/>
  <bookViews>
    <workbookView xWindow="-108" yWindow="-108" windowWidth="23256" windowHeight="12456" xr2:uid="{00000000-000D-0000-FFFF-FFFF00000000}"/>
  </bookViews>
  <sheets>
    <sheet name="Ministerio" sheetId="11" r:id="rId1"/>
  </sheets>
  <definedNames>
    <definedName name="vertex42_copyright" hidden="1">"© 2010-2014 Vertex42 LLC"</definedName>
    <definedName name="vertex42_id" hidden="1">"time-card-calculator.xlsx"</definedName>
    <definedName name="vertex42_title" hidden="1">"Time Card Calculator"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3" i="11" l="1"/>
  <c r="D10" i="11"/>
  <c r="E10" i="11"/>
</calcChain>
</file>

<file path=xl/sharedStrings.xml><?xml version="1.0" encoding="utf-8"?>
<sst xmlns="http://schemas.openxmlformats.org/spreadsheetml/2006/main" count="57" uniqueCount="43">
  <si>
    <t>Año</t>
  </si>
  <si>
    <t>USD</t>
  </si>
  <si>
    <t>Meses</t>
  </si>
  <si>
    <t>6 meses</t>
  </si>
  <si>
    <t>12 meses</t>
  </si>
  <si>
    <t>Beneficiarios</t>
  </si>
  <si>
    <t>Alimentos (kg)</t>
  </si>
  <si>
    <t>México</t>
  </si>
  <si>
    <t>7 meses</t>
  </si>
  <si>
    <t>TOTAL</t>
  </si>
  <si>
    <t>📊 ESTADÍSTICAS CLAVE</t>
  </si>
  <si>
    <t>Total Alimentos (kg):</t>
  </si>
  <si>
    <t>Año con más beneficiarios:</t>
  </si>
  <si>
    <t xml:space="preserve">Despensas </t>
  </si>
  <si>
    <t xml:space="preserve">Kermes </t>
  </si>
  <si>
    <t xml:space="preserve"> English Center</t>
  </si>
  <si>
    <t>RESUMEN DE PROGRAMA DE APOYO ALIMENTARIO DOMICILIAR</t>
  </si>
  <si>
    <t>EVOLUCIÓN DE DESPENSAS  POR AÑO</t>
  </si>
  <si>
    <t>Total Despensas:</t>
  </si>
  <si>
    <t xml:space="preserve">DESPENSAS DONADAS </t>
  </si>
  <si>
    <t xml:space="preserve">SUMA TOTAL DE DESPENSAS </t>
  </si>
  <si>
    <t>AÑOS</t>
  </si>
  <si>
    <t xml:space="preserve">TOTAL DE ALIMENTOS DONADOS </t>
  </si>
  <si>
    <t xml:space="preserve">72 DESPENSAS </t>
  </si>
  <si>
    <t xml:space="preserve">136 DESPENSAS </t>
  </si>
  <si>
    <t xml:space="preserve">130 DESPENSAS </t>
  </si>
  <si>
    <t>140 DESPENSAS</t>
  </si>
  <si>
    <t xml:space="preserve">456 DESPENSAS </t>
  </si>
  <si>
    <t xml:space="preserve">231 DESPENSAS </t>
  </si>
  <si>
    <t xml:space="preserve">TOTAL DE DESPENSAS DONADAS </t>
  </si>
  <si>
    <t>EVOLUCIÓN DE ALIMENTOS POR AÑO</t>
  </si>
  <si>
    <t>AÑO</t>
  </si>
  <si>
    <t xml:space="preserve">Donaciones </t>
  </si>
  <si>
    <t>Kits Aseo</t>
  </si>
  <si>
    <t>Piyamas</t>
  </si>
  <si>
    <t xml:space="preserve">Zandalias </t>
  </si>
  <si>
    <t>Actividades</t>
  </si>
  <si>
    <t xml:space="preserve">Municipios </t>
  </si>
  <si>
    <t>Cartolandia</t>
  </si>
  <si>
    <t>Caritas</t>
  </si>
  <si>
    <t xml:space="preserve">San Judas </t>
  </si>
  <si>
    <t xml:space="preserve">Meses </t>
  </si>
  <si>
    <t xml:space="preserve">10.096 Toneladas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</si>
</sst>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9" formatCode="General\ &quot;KG&quot;"/>
    <numFmt numFmtId="170" formatCode="General\ &quot; TONELADAS&quot;"/>
  </numFmts>
  <fonts count="23" x14ac:knownFonts="1">
    <font>
      <sz val="11"/>
      <color theme="1"/>
      <name val="Calibri"/>
      <family val="2"/>
      <scheme val="minor"/>
    </font>
    <font>
      <u/>
      <sz val="11"/>
      <color rgb="FF0000FF"/>
      <name val="Arial"/>
      <family val="2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31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0" borderId="0" xfId="0" applyFont="1"/>
    <xf numFmtId="0" fontId="21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4" fontId="0" fillId="0" borderId="10" xfId="0" applyNumberFormat="1" applyBorder="1" applyAlignment="1">
      <alignment horizontal="center"/>
    </xf>
    <xf numFmtId="0" fontId="18" fillId="34" borderId="0" xfId="0" applyFont="1" applyFill="1"/>
    <xf numFmtId="4" fontId="18" fillId="34" borderId="0" xfId="0" applyNumberFormat="1" applyFont="1" applyFill="1"/>
    <xf numFmtId="0" fontId="22" fillId="0" borderId="0" xfId="0" applyFont="1"/>
    <xf numFmtId="0" fontId="0" fillId="0" borderId="10" xfId="0" applyBorder="1"/>
    <xf numFmtId="0" fontId="18" fillId="0" borderId="10" xfId="0" applyFont="1" applyBorder="1" applyAlignment="1">
      <alignment horizontal="center" vertical="center"/>
    </xf>
    <xf numFmtId="169" fontId="0" fillId="0" borderId="0" xfId="0" applyNumberFormat="1"/>
    <xf numFmtId="170" fontId="0" fillId="0" borderId="0" xfId="0" applyNumberFormat="1"/>
    <xf numFmtId="0" fontId="18" fillId="0" borderId="10" xfId="0" applyFont="1" applyBorder="1"/>
    <xf numFmtId="169" fontId="0" fillId="0" borderId="10" xfId="0" applyNumberFormat="1" applyBorder="1"/>
    <xf numFmtId="170" fontId="0" fillId="0" borderId="10" xfId="0" applyNumberFormat="1" applyBorder="1"/>
    <xf numFmtId="0" fontId="0" fillId="0" borderId="11" xfId="0" applyBorder="1" applyAlignment="1">
      <alignment horizontal="center"/>
    </xf>
    <xf numFmtId="9" fontId="0" fillId="0" borderId="0" xfId="0" applyNumberFormat="1"/>
    <xf numFmtId="9" fontId="0" fillId="0" borderId="10" xfId="7" applyFont="1" applyBorder="1"/>
    <xf numFmtId="9" fontId="0" fillId="0" borderId="10" xfId="0" applyNumberFormat="1" applyBorder="1"/>
    <xf numFmtId="0" fontId="0" fillId="0" borderId="11" xfId="0" applyBorder="1"/>
    <xf numFmtId="9" fontId="0" fillId="0" borderId="11" xfId="7" applyFont="1" applyBorder="1"/>
    <xf numFmtId="0" fontId="0" fillId="0" borderId="12" xfId="0" applyBorder="1"/>
    <xf numFmtId="17" fontId="0" fillId="0" borderId="10" xfId="0" applyNumberFormat="1" applyBorder="1" applyAlignment="1">
      <alignment horizontal="center"/>
    </xf>
    <xf numFmtId="17" fontId="0" fillId="0" borderId="11" xfId="0" applyNumberFormat="1" applyBorder="1" applyAlignment="1">
      <alignment horizontal="center"/>
    </xf>
    <xf numFmtId="0" fontId="2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/>
    </xf>
    <xf numFmtId="9" fontId="0" fillId="0" borderId="10" xfId="7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49">
    <cellStyle name="20% - Énfasis1" xfId="26" builtinId="30" customBuiltin="1"/>
    <cellStyle name="20% - Énfasis2" xfId="30" builtinId="34" customBuiltin="1"/>
    <cellStyle name="20% - Énfasis3" xfId="34" builtinId="38" customBuiltin="1"/>
    <cellStyle name="20% - Énfasis4" xfId="38" builtinId="42" customBuiltin="1"/>
    <cellStyle name="20% - Énfasis5" xfId="42" builtinId="46" customBuiltin="1"/>
    <cellStyle name="20% - Énfasis6" xfId="46" builtinId="50" customBuiltin="1"/>
    <cellStyle name="40% - Énfasis1" xfId="27" builtinId="31" customBuiltin="1"/>
    <cellStyle name="40% - Énfasis2" xfId="31" builtinId="35" customBuiltin="1"/>
    <cellStyle name="40% - Énfasis3" xfId="35" builtinId="39" customBuiltin="1"/>
    <cellStyle name="40% - Énfasis4" xfId="39" builtinId="43" customBuiltin="1"/>
    <cellStyle name="40% - Énfasis5" xfId="43" builtinId="47" customBuiltin="1"/>
    <cellStyle name="40% - Énfasis6" xfId="47" builtinId="51" customBuiltin="1"/>
    <cellStyle name="60% - Énfasis1" xfId="28" builtinId="32" customBuiltin="1"/>
    <cellStyle name="60% - Énfasis2" xfId="32" builtinId="36" customBuiltin="1"/>
    <cellStyle name="60% - Énfasis3" xfId="36" builtinId="40" customBuiltin="1"/>
    <cellStyle name="60% - Énfasis4" xfId="40" builtinId="44" customBuiltin="1"/>
    <cellStyle name="60% - Énfasis5" xfId="44" builtinId="48" customBuiltin="1"/>
    <cellStyle name="60% - Énfasis6" xfId="48" builtinId="52" customBuiltin="1"/>
    <cellStyle name="Bueno" xfId="13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Encabezado 1" xfId="9" builtinId="16" customBuiltin="1"/>
    <cellStyle name="Encabezado 4" xfId="12" builtinId="19" customBuiltin="1"/>
    <cellStyle name="Énfasis1" xfId="25" builtinId="29" customBuiltin="1"/>
    <cellStyle name="Énfasis2" xfId="29" builtinId="33" customBuiltin="1"/>
    <cellStyle name="Énfasis3" xfId="33" builtinId="37" customBuiltin="1"/>
    <cellStyle name="Énfasis4" xfId="37" builtinId="41" customBuiltin="1"/>
    <cellStyle name="Énfasis5" xfId="41" builtinId="45" customBuiltin="1"/>
    <cellStyle name="Énfasis6" xfId="45" builtinId="49" customBuiltin="1"/>
    <cellStyle name="Entrada" xfId="16" builtinId="20" customBuiltin="1"/>
    <cellStyle name="Hipervínculo" xfId="1" builtinId="8" customBuiltin="1"/>
    <cellStyle name="Hipervínculo visitado" xfId="2" builtinId="9" customBuiltin="1"/>
    <cellStyle name="Incorrecto" xfId="14" builtinId="27" customBuiltin="1"/>
    <cellStyle name="Millares" xfId="3" builtinId="3" customBuiltin="1"/>
    <cellStyle name="Millares [0]" xfId="4" builtinId="6" customBuiltin="1"/>
    <cellStyle name="Moneda" xfId="5" builtinId="4" customBuiltin="1"/>
    <cellStyle name="Moneda [0]" xfId="6" builtinId="7" customBuiltin="1"/>
    <cellStyle name="Neutral" xfId="15" builtinId="28" customBuiltin="1"/>
    <cellStyle name="Normal" xfId="0" builtinId="0" customBuiltin="1"/>
    <cellStyle name="Notas" xfId="22" builtinId="10" customBuiltin="1"/>
    <cellStyle name="Porcentaje" xfId="7" builtinId="5" customBuiltin="1"/>
    <cellStyle name="Salida" xfId="17" builtinId="21" customBuiltin="1"/>
    <cellStyle name="Texto de advertencia" xfId="21" builtinId="11" customBuiltin="1"/>
    <cellStyle name="Texto explicativo" xfId="23" builtinId="53" customBuiltin="1"/>
    <cellStyle name="Título" xfId="8" builtinId="15" customBuiltin="1"/>
    <cellStyle name="Título 2" xfId="10" builtinId="17" customBuiltin="1"/>
    <cellStyle name="Título 3" xfId="11" builtinId="18" customBuiltin="1"/>
    <cellStyle name="Total" xfId="24" builtinId="25" customBuiltin="1"/>
  </cellStyles>
  <dxfs count="8">
    <dxf>
      <border>
        <bottom style="thin">
          <color theme="4" tint="-0.24994659260841701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border diagonalUp="0" diagonalDown="0">
        <left/>
        <right/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ill>
        <patternFill>
          <bgColor theme="4" tint="0.79998168889431442"/>
        </patternFill>
      </fill>
      <border diagonalUp="0" diagonalDown="0">
        <left/>
        <right/>
        <top/>
        <bottom style="thin">
          <color theme="4" tint="-0.24994659260841701"/>
        </bottom>
        <vertical/>
        <horizontal/>
      </border>
    </dxf>
    <dxf>
      <font>
        <b/>
        <i val="0"/>
        <color theme="0"/>
      </font>
      <fill>
        <patternFill>
          <bgColor theme="4" tint="-0.24994659260841701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tabla 1" pivot="0" count="8" xr9:uid="{00000000-0011-0000-FFFF-FFFF00000000}">
      <tableStyleElement type="wholeTable" dxfId="7"/>
      <tableStyleElement type="headerRow" dxfId="6"/>
      <tableStyleElement type="totalRow" dxfId="5"/>
      <tableStyleElement type="firstRowStripe" dxfId="4"/>
      <tableStyleElement type="secondRowStripe" dxfId="3"/>
      <tableStyleElement type="firstColumnStripe" dxfId="2"/>
      <tableStyleElement type="secondColumnStripe" dxfId="1"/>
      <tableStyleElement type="lastTotalCell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ingresos de donaCIONES total 2021</a:t>
            </a:r>
          </a:p>
        </c:rich>
      </c:tx>
      <c:layout>
        <c:manualLayout>
          <c:xMode val="edge"/>
          <c:yMode val="edge"/>
          <c:x val="0.24466008425674241"/>
          <c:y val="7.21791515246530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251510133046047E-2"/>
          <c:y val="5.2277854426029641E-2"/>
          <c:w val="0.80635886660029754"/>
          <c:h val="0.81048529932695723"/>
        </c:manualLayout>
      </c:layout>
      <c:pie3DChart>
        <c:varyColors val="1"/>
        <c:ser>
          <c:idx val="0"/>
          <c:order val="0"/>
          <c:tx>
            <c:strRef>
              <c:f>Ministerio!$O$5:$P$5</c:f>
              <c:strCache>
                <c:ptCount val="2"/>
                <c:pt idx="0">
                  <c:v>México</c:v>
                </c:pt>
                <c:pt idx="1">
                  <c:v> English Center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4AE-4E64-B6B3-0773DE445587}"/>
              </c:ext>
            </c:extLst>
          </c:dPt>
          <c:dPt>
            <c:idx val="1"/>
            <c:bubble3D val="0"/>
            <c:explosion val="27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44AE-4E64-B6B3-0773DE44558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4AE-4E64-B6B3-0773DE4455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54568001916907"/>
                      <c:h val="0.161536464674062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4AE-4E64-B6B3-0773DE4455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spc="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Ministerio!$O$3:$P$3</c:f>
              <c:strCache>
                <c:ptCount val="2"/>
                <c:pt idx="0">
                  <c:v>México</c:v>
                </c:pt>
                <c:pt idx="1">
                  <c:v> English Center</c:v>
                </c:pt>
              </c:strCache>
            </c:strRef>
          </c:cat>
          <c:val>
            <c:numRef>
              <c:f>Ministerio!$O$6:$P$6</c:f>
              <c:numCache>
                <c:formatCode>General</c:formatCode>
                <c:ptCount val="2"/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E-4E64-B6B3-0773DE4455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2">
              <a:lumMod val="50000"/>
            </a:schemeClr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 iNGRESOS DE DONACIONES TOTAL 2026</a:t>
            </a:r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18642664771942657"/>
          <c:y val="8.7616940810584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6764763915103997E-3"/>
          <c:y val="0.14985641954847098"/>
          <c:w val="0.90527848934849531"/>
          <c:h val="0.8489480604865220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B33-4CAF-B2B8-8F94D44F2A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4B33-4CAF-B2B8-8F94D44F2A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B33-4CAF-B2B8-8F94D44F2A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4B33-4CAF-B2B8-8F94D44F2AC9}"/>
              </c:ext>
            </c:extLst>
          </c:dPt>
          <c:dLbls>
            <c:dLbl>
              <c:idx val="0"/>
              <c:layout>
                <c:manualLayout>
                  <c:x val="-7.9031612645058022E-2"/>
                  <c:y val="-5.023322569070685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6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DCC1DB8-E200-485B-8268-28CAE8D14E26}" type="CATEGORYNAME">
                      <a:rPr lang="en-US" sz="1600"/>
                      <a:pPr>
                        <a:defRPr sz="1600"/>
                      </a:pPr>
                      <a:t>[NOMBRE DE CATEGORÍA]</a:t>
                    </a:fld>
                    <a:r>
                      <a:rPr lang="en-US" sz="1600" baseline="0"/>
                      <a:t>
</a:t>
                    </a:r>
                    <a:fld id="{A96FBF9F-6BBC-4DC1-B804-D3962A472602}" type="PERCENTAGE">
                      <a:rPr lang="en-US" sz="1600" baseline="0"/>
                      <a:pPr>
                        <a:defRPr sz="1600"/>
                      </a:pPr>
                      <a:t>[PORCENTAJE]</a:t>
                    </a:fld>
                    <a:endParaRPr lang="en-US" sz="16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303771902461773"/>
                      <c:h val="0.1181557229996411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B33-4CAF-B2B8-8F94D44F2AC9}"/>
                </c:ext>
              </c:extLst>
            </c:dLbl>
            <c:dLbl>
              <c:idx val="1"/>
              <c:layout>
                <c:manualLayout>
                  <c:x val="-3.4013684213843161E-2"/>
                  <c:y val="1.79404377466810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83961143512518"/>
                      <c:h val="0.118155722999641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B33-4CAF-B2B8-8F94D44F2AC9}"/>
                </c:ext>
              </c:extLst>
            </c:dLbl>
            <c:dLbl>
              <c:idx val="2"/>
              <c:layout>
                <c:manualLayout>
                  <c:x val="3.7317360568941603E-2"/>
                  <c:y val="0.1737952932330367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288285035614787"/>
                      <c:h val="0.148807239045349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33-4CAF-B2B8-8F94D44F2AC9}"/>
                </c:ext>
              </c:extLst>
            </c:dLbl>
            <c:dLbl>
              <c:idx val="3"/>
              <c:layout>
                <c:manualLayout>
                  <c:x val="0.13005202080832337"/>
                  <c:y val="2.06315740403278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53621448579432"/>
                      <c:h val="0.101202009329027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B33-4CAF-B2B8-8F94D44F2A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Ministerio!$O$3:$R$3</c:f>
              <c:strCache>
                <c:ptCount val="4"/>
                <c:pt idx="0">
                  <c:v>México</c:v>
                </c:pt>
                <c:pt idx="1">
                  <c:v> English Center</c:v>
                </c:pt>
                <c:pt idx="2">
                  <c:v>USD</c:v>
                </c:pt>
                <c:pt idx="3">
                  <c:v>Kermes </c:v>
                </c:pt>
              </c:strCache>
            </c:strRef>
          </c:cat>
          <c:val>
            <c:numRef>
              <c:f>Ministerio!$O$4:$R$4</c:f>
              <c:numCache>
                <c:formatCode>0%</c:formatCode>
                <c:ptCount val="4"/>
                <c:pt idx="0">
                  <c:v>37</c:v>
                </c:pt>
                <c:pt idx="1">
                  <c:v>2</c:v>
                </c:pt>
                <c:pt idx="2">
                  <c:v>55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3-4CAF-B2B8-8F94D44F2AC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TONELADAS DE ALIMENTOS 2021-2026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Ministerio!$K$3</c:f>
              <c:strCache>
                <c:ptCount val="1"/>
                <c:pt idx="0">
                  <c:v>Alimentos (kg)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Ministerio!$J$4:$J$9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Ministerio!$K$4:$K$9</c:f>
              <c:numCache>
                <c:formatCode>General\ "KG"</c:formatCode>
                <c:ptCount val="6"/>
                <c:pt idx="0">
                  <c:v>719</c:v>
                </c:pt>
                <c:pt idx="1">
                  <c:v>1799</c:v>
                </c:pt>
                <c:pt idx="2">
                  <c:v>1416</c:v>
                </c:pt>
                <c:pt idx="3">
                  <c:v>1177</c:v>
                </c:pt>
                <c:pt idx="4">
                  <c:v>3285.68</c:v>
                </c:pt>
                <c:pt idx="5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D3-4688-BEFC-F9D63E80B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411487"/>
        <c:axId val="1764326255"/>
      </c:barChart>
      <c:lineChart>
        <c:grouping val="standard"/>
        <c:varyColors val="0"/>
        <c:ser>
          <c:idx val="2"/>
          <c:order val="1"/>
          <c:tx>
            <c:strRef>
              <c:f>Ministerio!$L$3</c:f>
              <c:strCache>
                <c:ptCount val="1"/>
                <c:pt idx="0">
                  <c:v>TOTAL DE ALIMENTOS DONADOS 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Ministerio!$L$4:$L$9</c:f>
              <c:numCache>
                <c:formatCode>General\ " TONELADAS"</c:formatCode>
                <c:ptCount val="6"/>
                <c:pt idx="0" formatCode="General\ &quot;KG&quot;">
                  <c:v>719</c:v>
                </c:pt>
                <c:pt idx="1">
                  <c:v>2518</c:v>
                </c:pt>
                <c:pt idx="2">
                  <c:v>3934</c:v>
                </c:pt>
                <c:pt idx="3">
                  <c:v>5111</c:v>
                </c:pt>
                <c:pt idx="4">
                  <c:v>8396.68</c:v>
                </c:pt>
                <c:pt idx="5">
                  <c:v>10096.68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D3-4688-BEFC-F9D63E80B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411487"/>
        <c:axId val="1764326255"/>
      </c:lineChart>
      <c:catAx>
        <c:axId val="177541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4326255"/>
        <c:crosses val="autoZero"/>
        <c:auto val="1"/>
        <c:lblAlgn val="ctr"/>
        <c:lblOffset val="100"/>
        <c:noMultiLvlLbl val="0"/>
      </c:catAx>
      <c:valAx>
        <c:axId val="176432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\ &quot;KG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541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MX"/>
              <a:t>TOTAL</a:t>
            </a:r>
            <a:r>
              <a:rPr lang="es-MX" baseline="0"/>
              <a:t> DE DESPENSAS  2021-2026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Ministerio!$C$36</c:f>
              <c:strCache>
                <c:ptCount val="1"/>
                <c:pt idx="0">
                  <c:v>DESPENSAS DONADAS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Ministerio!$B$37:$B$42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Ministerio!$C$37:$C$42</c:f>
              <c:numCache>
                <c:formatCode>General</c:formatCode>
                <c:ptCount val="6"/>
                <c:pt idx="0">
                  <c:v>72</c:v>
                </c:pt>
                <c:pt idx="1">
                  <c:v>136</c:v>
                </c:pt>
                <c:pt idx="2">
                  <c:v>130</c:v>
                </c:pt>
                <c:pt idx="3">
                  <c:v>140</c:v>
                </c:pt>
                <c:pt idx="4">
                  <c:v>456</c:v>
                </c:pt>
                <c:pt idx="5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B8-45E7-A489-6437B24DE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915058527"/>
        <c:axId val="1764346415"/>
      </c:barChart>
      <c:lineChart>
        <c:grouping val="standard"/>
        <c:varyColors val="0"/>
        <c:ser>
          <c:idx val="2"/>
          <c:order val="1"/>
          <c:tx>
            <c:strRef>
              <c:f>Ministerio!$D$36</c:f>
              <c:strCache>
                <c:ptCount val="1"/>
                <c:pt idx="0">
                  <c:v>SUMA TOTAL DE DESPENSAS 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Ministerio!$D$37:$D$42</c:f>
              <c:numCache>
                <c:formatCode>General</c:formatCode>
                <c:ptCount val="6"/>
                <c:pt idx="0">
                  <c:v>72</c:v>
                </c:pt>
                <c:pt idx="1">
                  <c:v>208</c:v>
                </c:pt>
                <c:pt idx="2">
                  <c:v>338</c:v>
                </c:pt>
                <c:pt idx="3">
                  <c:v>478</c:v>
                </c:pt>
                <c:pt idx="4">
                  <c:v>934</c:v>
                </c:pt>
                <c:pt idx="5">
                  <c:v>1165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B8-45E7-A489-6437B24DE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5058527"/>
        <c:axId val="1764346415"/>
      </c:lineChart>
      <c:catAx>
        <c:axId val="1915058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4346415"/>
        <c:crosses val="autoZero"/>
        <c:auto val="1"/>
        <c:lblAlgn val="ctr"/>
        <c:lblOffset val="100"/>
        <c:noMultiLvlLbl val="0"/>
      </c:catAx>
      <c:valAx>
        <c:axId val="176434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505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Mision</a:t>
            </a:r>
            <a:r>
              <a:rPr lang="en-US" baseline="0"/>
              <a:t> Hospital Infantil  </a:t>
            </a:r>
            <a:r>
              <a:rPr lang="en-US"/>
              <a:t> 2026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Ministerio!$N$45</c:f>
              <c:strCache>
                <c:ptCount val="1"/>
                <c:pt idx="0">
                  <c:v>Donaciones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DB-4129-979A-B7DFCA70F4C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7DB-4129-979A-B7DFCA70F4C1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DB-4129-979A-B7DFCA70F4C1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7DB-4129-979A-B7DFCA70F4C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57DB-4129-979A-B7DFCA70F4C1}"/>
                </c:ext>
              </c:extLst>
            </c:dLbl>
            <c:dLbl>
              <c:idx val="1"/>
              <c:layout>
                <c:manualLayout>
                  <c:x val="-8.249156062155399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DB-4129-979A-B7DFCA70F4C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7DB-4129-979A-B7DFCA70F4C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57DB-4129-979A-B7DFCA70F4C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Ministerio!$O$46:$O$49</c:f>
              <c:strCache>
                <c:ptCount val="4"/>
                <c:pt idx="0">
                  <c:v>Kits Aseo</c:v>
                </c:pt>
                <c:pt idx="1">
                  <c:v>Piyamas</c:v>
                </c:pt>
                <c:pt idx="2">
                  <c:v>Zandalias </c:v>
                </c:pt>
                <c:pt idx="3">
                  <c:v>Actividades</c:v>
                </c:pt>
              </c:strCache>
            </c:strRef>
          </c:cat>
          <c:val>
            <c:numRef>
              <c:f>Ministerio!$N$46:$N$49</c:f>
              <c:numCache>
                <c:formatCode>0%</c:formatCode>
                <c:ptCount val="4"/>
                <c:pt idx="0">
                  <c:v>0.43</c:v>
                </c:pt>
                <c:pt idx="1">
                  <c:v>0.18</c:v>
                </c:pt>
                <c:pt idx="2">
                  <c:v>0.06</c:v>
                </c:pt>
                <c:pt idx="3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B-4129-979A-B7DFCA70F4C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Misiones</a:t>
            </a:r>
            <a:r>
              <a:rPr lang="en-US" baseline="0"/>
              <a:t> </a:t>
            </a:r>
            <a:r>
              <a:rPr lang="en-US"/>
              <a:t> 2023-2025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Ministerio!$J$46</c:f>
              <c:strCache>
                <c:ptCount val="1"/>
                <c:pt idx="0">
                  <c:v>Donaciones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C0-4CB9-8A6F-D0D9DBCC312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5C0-4CB9-8A6F-D0D9DBCC312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5C0-4CB9-8A6F-D0D9DBCC312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657649153334207"/>
                      <c:h val="0.199797646239034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55C0-4CB9-8A6F-D0D9DBCC312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55C0-4CB9-8A6F-D0D9DBCC312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755008354522775"/>
                      <c:h val="0.199797646239034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55C0-4CB9-8A6F-D0D9DBCC31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Ministerio!$H$47:$I$49</c:f>
              <c:multiLvlStrCache>
                <c:ptCount val="3"/>
                <c:lvl>
                  <c:pt idx="0">
                    <c:v>Cartolandia</c:v>
                  </c:pt>
                  <c:pt idx="1">
                    <c:v>Caritas</c:v>
                  </c:pt>
                  <c:pt idx="2">
                    <c:v>San Judas </c:v>
                  </c:pt>
                </c:lvl>
                <c:lvl>
                  <c:pt idx="0">
                    <c:v>jun-23</c:v>
                  </c:pt>
                  <c:pt idx="1">
                    <c:v>ago-23</c:v>
                  </c:pt>
                  <c:pt idx="2">
                    <c:v>mar-25</c:v>
                  </c:pt>
                </c:lvl>
              </c:multiLvlStrCache>
            </c:multiLvlStrRef>
          </c:cat>
          <c:val>
            <c:numRef>
              <c:f>Ministerio!$J$47:$J$49</c:f>
              <c:numCache>
                <c:formatCode>0%</c:formatCode>
                <c:ptCount val="3"/>
                <c:pt idx="0">
                  <c:v>0.28000000000000003</c:v>
                </c:pt>
                <c:pt idx="1">
                  <c:v>0.3</c:v>
                </c:pt>
                <c:pt idx="2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C0-4CB9-8A6F-D0D9DBCC312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111641</xdr:colOff>
      <xdr:row>13</xdr:row>
      <xdr:rowOff>15543</xdr:rowOff>
    </xdr:from>
    <xdr:to>
      <xdr:col>9</xdr:col>
      <xdr:colOff>719667</xdr:colOff>
      <xdr:row>39</xdr:row>
      <xdr:rowOff>158750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34CC84E-670E-C30D-9ECA-11C74FC15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911076</xdr:colOff>
      <xdr:row>13</xdr:row>
      <xdr:rowOff>15240</xdr:rowOff>
    </xdr:from>
    <xdr:to>
      <xdr:col>13</xdr:col>
      <xdr:colOff>825500</xdr:colOff>
      <xdr:row>40</xdr:row>
      <xdr:rowOff>21167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ADF3717-4FA6-B468-7DE7-6F9329A7D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13</xdr:row>
      <xdr:rowOff>19050</xdr:rowOff>
    </xdr:from>
    <xdr:to>
      <xdr:col>4</xdr:col>
      <xdr:colOff>32657</xdr:colOff>
      <xdr:row>30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4A8B41-E39B-A365-7180-3FF6933B6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762000</xdr:colOff>
      <xdr:row>42</xdr:row>
      <xdr:rowOff>174171</xdr:rowOff>
    </xdr:from>
    <xdr:to>
      <xdr:col>4</xdr:col>
      <xdr:colOff>10886</xdr:colOff>
      <xdr:row>63</xdr:row>
      <xdr:rowOff>87086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8D404B3-0C61-12B7-F6C8-C8E2E74E1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903513</xdr:colOff>
      <xdr:row>49</xdr:row>
      <xdr:rowOff>21771</xdr:rowOff>
    </xdr:from>
    <xdr:to>
      <xdr:col>16</xdr:col>
      <xdr:colOff>1752600</xdr:colOff>
      <xdr:row>77</xdr:row>
      <xdr:rowOff>54428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ED36D69-16BC-BB21-E3C3-D21CC04CF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642257</xdr:colOff>
      <xdr:row>50</xdr:row>
      <xdr:rowOff>66522</xdr:rowOff>
    </xdr:from>
    <xdr:to>
      <xdr:col>12</xdr:col>
      <xdr:colOff>108857</xdr:colOff>
      <xdr:row>72</xdr:row>
      <xdr:rowOff>33865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8B2EBAF4-61E7-B385-0780-A798F011C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E465-47EC-4C85-A9F6-F39B6368E378}">
  <dimension ref="B1:V73"/>
  <sheetViews>
    <sheetView tabSelected="1" zoomScale="72" zoomScaleNormal="70" workbookViewId="0">
      <selection activeCell="B78" sqref="B78"/>
    </sheetView>
  </sheetViews>
  <sheetFormatPr baseColWidth="10" defaultRowHeight="14.4" x14ac:dyDescent="0.3"/>
  <cols>
    <col min="2" max="2" width="39.6640625" bestFit="1" customWidth="1"/>
    <col min="3" max="3" width="19.5546875" bestFit="1" customWidth="1"/>
    <col min="4" max="4" width="24.88671875" bestFit="1" customWidth="1"/>
    <col min="5" max="5" width="13.21875" bestFit="1" customWidth="1"/>
    <col min="6" max="6" width="10.21875" bestFit="1" customWidth="1"/>
    <col min="7" max="8" width="18.33203125" customWidth="1"/>
    <col min="9" max="9" width="14.21875" customWidth="1"/>
    <col min="10" max="10" width="21.21875" bestFit="1" customWidth="1"/>
    <col min="11" max="11" width="11.6640625" customWidth="1"/>
    <col min="12" max="12" width="29.5546875" bestFit="1" customWidth="1"/>
    <col min="13" max="13" width="14.21875" bestFit="1" customWidth="1"/>
    <col min="14" max="14" width="28.6640625" bestFit="1" customWidth="1"/>
    <col min="15" max="15" width="25.6640625" bestFit="1" customWidth="1"/>
    <col min="16" max="16" width="13.21875" bestFit="1" customWidth="1"/>
    <col min="17" max="17" width="29.5546875" bestFit="1" customWidth="1"/>
    <col min="18" max="18" width="8" bestFit="1" customWidth="1"/>
    <col min="19" max="19" width="10.44140625" customWidth="1"/>
    <col min="20" max="20" width="13.5546875" bestFit="1" customWidth="1"/>
    <col min="21" max="21" width="12.88671875" bestFit="1" customWidth="1"/>
    <col min="22" max="24" width="12.88671875" customWidth="1"/>
    <col min="25" max="25" width="1.88671875" customWidth="1"/>
    <col min="26" max="26" width="12.44140625" bestFit="1" customWidth="1"/>
    <col min="27" max="27" width="11.6640625" bestFit="1" customWidth="1"/>
  </cols>
  <sheetData>
    <row r="1" spans="2:22" ht="30" customHeight="1" x14ac:dyDescent="0.4">
      <c r="B1" s="28" t="s">
        <v>16</v>
      </c>
      <c r="C1" s="28"/>
      <c r="D1" s="28"/>
      <c r="E1" s="28"/>
      <c r="F1" s="25"/>
      <c r="G1" s="25"/>
      <c r="H1" s="25"/>
      <c r="I1" s="25"/>
      <c r="J1" s="25"/>
    </row>
    <row r="3" spans="2:22" x14ac:dyDescent="0.3">
      <c r="B3" s="3" t="s">
        <v>0</v>
      </c>
      <c r="C3" s="3" t="s">
        <v>2</v>
      </c>
      <c r="D3" s="3" t="s">
        <v>5</v>
      </c>
      <c r="E3" s="3" t="s">
        <v>6</v>
      </c>
      <c r="G3" s="13" t="s">
        <v>0</v>
      </c>
      <c r="H3" s="10" t="s">
        <v>13</v>
      </c>
      <c r="I3" s="9" t="s">
        <v>29</v>
      </c>
      <c r="J3" s="13" t="s">
        <v>0</v>
      </c>
      <c r="K3" s="13" t="s">
        <v>6</v>
      </c>
      <c r="L3" s="13" t="s">
        <v>22</v>
      </c>
      <c r="N3" s="10" t="s">
        <v>0</v>
      </c>
      <c r="O3" s="10" t="s">
        <v>7</v>
      </c>
      <c r="P3" s="10" t="s">
        <v>15</v>
      </c>
      <c r="Q3" s="10" t="s">
        <v>1</v>
      </c>
      <c r="R3" s="10" t="s">
        <v>14</v>
      </c>
      <c r="S3" s="10"/>
      <c r="U3" s="2"/>
      <c r="V3" s="2"/>
    </row>
    <row r="4" spans="2:22" x14ac:dyDescent="0.3">
      <c r="B4" s="4">
        <v>2021</v>
      </c>
      <c r="C4" s="4" t="s">
        <v>3</v>
      </c>
      <c r="D4" s="4">
        <v>12</v>
      </c>
      <c r="E4" s="5">
        <v>719</v>
      </c>
      <c r="G4" s="9">
        <v>2021</v>
      </c>
      <c r="H4" s="1" t="s">
        <v>23</v>
      </c>
      <c r="I4" s="9">
        <v>72</v>
      </c>
      <c r="J4" s="9">
        <v>2021</v>
      </c>
      <c r="K4" s="14">
        <v>719</v>
      </c>
      <c r="L4" s="14">
        <v>719</v>
      </c>
      <c r="N4" s="1">
        <v>2026</v>
      </c>
      <c r="O4" s="29">
        <v>37</v>
      </c>
      <c r="P4" s="29">
        <v>2</v>
      </c>
      <c r="Q4" s="29">
        <v>55</v>
      </c>
      <c r="R4" s="29">
        <v>6</v>
      </c>
      <c r="S4" s="1"/>
    </row>
    <row r="5" spans="2:22" x14ac:dyDescent="0.3">
      <c r="B5" s="4">
        <v>2022</v>
      </c>
      <c r="C5" s="4" t="s">
        <v>4</v>
      </c>
      <c r="D5" s="4">
        <v>17</v>
      </c>
      <c r="E5" s="5">
        <v>1799</v>
      </c>
      <c r="G5" s="9">
        <v>2022</v>
      </c>
      <c r="H5" s="1" t="s">
        <v>24</v>
      </c>
      <c r="I5" s="9">
        <v>208</v>
      </c>
      <c r="J5" s="9">
        <v>2022</v>
      </c>
      <c r="K5" s="14">
        <v>1799</v>
      </c>
      <c r="L5" s="15">
        <v>2518</v>
      </c>
      <c r="N5" s="10" t="s">
        <v>0</v>
      </c>
      <c r="O5" s="10" t="s">
        <v>7</v>
      </c>
      <c r="P5" s="10" t="s">
        <v>15</v>
      </c>
      <c r="Q5" s="10" t="s">
        <v>1</v>
      </c>
      <c r="R5" s="10" t="s">
        <v>14</v>
      </c>
      <c r="S5" s="1"/>
    </row>
    <row r="6" spans="2:22" x14ac:dyDescent="0.3">
      <c r="B6" s="4">
        <v>2023</v>
      </c>
      <c r="C6" s="4" t="s">
        <v>4</v>
      </c>
      <c r="D6" s="4">
        <v>13</v>
      </c>
      <c r="E6" s="5">
        <v>1416</v>
      </c>
      <c r="G6" s="9">
        <v>2023</v>
      </c>
      <c r="H6" s="1" t="s">
        <v>25</v>
      </c>
      <c r="I6" s="9">
        <v>338</v>
      </c>
      <c r="J6" s="9">
        <v>2023</v>
      </c>
      <c r="K6" s="14">
        <v>1416</v>
      </c>
      <c r="L6" s="15">
        <v>3934</v>
      </c>
      <c r="N6" s="1">
        <v>2021</v>
      </c>
      <c r="O6" s="1"/>
      <c r="P6" s="1">
        <v>100</v>
      </c>
      <c r="Q6" s="1"/>
      <c r="R6" s="1"/>
      <c r="S6" s="1"/>
    </row>
    <row r="7" spans="2:22" x14ac:dyDescent="0.3">
      <c r="B7" s="4">
        <v>2024</v>
      </c>
      <c r="C7" s="4" t="s">
        <v>8</v>
      </c>
      <c r="D7" s="4">
        <v>20</v>
      </c>
      <c r="E7" s="5">
        <v>1177</v>
      </c>
      <c r="G7" s="9">
        <v>2024</v>
      </c>
      <c r="H7" s="1" t="s">
        <v>26</v>
      </c>
      <c r="I7" s="9">
        <v>478</v>
      </c>
      <c r="J7" s="9">
        <v>2024</v>
      </c>
      <c r="K7" s="14">
        <v>1177</v>
      </c>
      <c r="L7" s="15">
        <v>5111</v>
      </c>
    </row>
    <row r="8" spans="2:22" x14ac:dyDescent="0.3">
      <c r="B8" s="4">
        <v>2025</v>
      </c>
      <c r="C8" s="4" t="s">
        <v>4</v>
      </c>
      <c r="D8" s="4">
        <v>38</v>
      </c>
      <c r="E8" s="5">
        <v>3285.68</v>
      </c>
      <c r="G8" s="9">
        <v>2025</v>
      </c>
      <c r="H8" s="1" t="s">
        <v>27</v>
      </c>
      <c r="I8" s="9">
        <v>934</v>
      </c>
      <c r="J8" s="9">
        <v>2025</v>
      </c>
      <c r="K8" s="14">
        <v>3285.68</v>
      </c>
      <c r="L8" s="15">
        <v>8396.68</v>
      </c>
    </row>
    <row r="9" spans="2:22" x14ac:dyDescent="0.3">
      <c r="B9" s="4">
        <v>2026</v>
      </c>
      <c r="C9" s="4" t="s">
        <v>8</v>
      </c>
      <c r="D9" s="4">
        <v>33</v>
      </c>
      <c r="E9" s="5">
        <v>1402</v>
      </c>
      <c r="G9" s="9">
        <v>2026</v>
      </c>
      <c r="H9" s="1" t="s">
        <v>28</v>
      </c>
      <c r="I9" s="9">
        <v>1165</v>
      </c>
      <c r="J9" s="9">
        <v>2026</v>
      </c>
      <c r="K9" s="14">
        <v>1700</v>
      </c>
      <c r="L9" s="15">
        <v>10096.68</v>
      </c>
    </row>
    <row r="10" spans="2:22" x14ac:dyDescent="0.3">
      <c r="B10" s="6" t="s">
        <v>9</v>
      </c>
      <c r="C10" s="6"/>
      <c r="D10" s="6">
        <f t="shared" ref="D10:E10" si="0">SUM(D4:D9)</f>
        <v>133</v>
      </c>
      <c r="E10" s="7">
        <f t="shared" si="0"/>
        <v>9798.68</v>
      </c>
      <c r="K10" s="11"/>
      <c r="L10" s="12"/>
    </row>
    <row r="12" spans="2:22" ht="15.6" x14ac:dyDescent="0.3">
      <c r="B12" s="8" t="s">
        <v>30</v>
      </c>
    </row>
    <row r="33" spans="2:15" ht="15.6" x14ac:dyDescent="0.3">
      <c r="B33" s="8" t="s">
        <v>17</v>
      </c>
    </row>
    <row r="36" spans="2:15" x14ac:dyDescent="0.3">
      <c r="B36" s="1" t="s">
        <v>21</v>
      </c>
      <c r="C36" s="9" t="s">
        <v>19</v>
      </c>
      <c r="D36" s="9" t="s">
        <v>20</v>
      </c>
    </row>
    <row r="37" spans="2:15" x14ac:dyDescent="0.3">
      <c r="B37" s="4">
        <v>2021</v>
      </c>
      <c r="C37" s="1">
        <v>72</v>
      </c>
      <c r="D37" s="9">
        <v>72</v>
      </c>
    </row>
    <row r="38" spans="2:15" x14ac:dyDescent="0.3">
      <c r="B38" s="4">
        <v>2022</v>
      </c>
      <c r="C38" s="1">
        <v>136</v>
      </c>
      <c r="D38" s="9">
        <v>208</v>
      </c>
    </row>
    <row r="39" spans="2:15" x14ac:dyDescent="0.3">
      <c r="B39" s="4">
        <v>2023</v>
      </c>
      <c r="C39" s="1">
        <v>130</v>
      </c>
      <c r="D39" s="9">
        <v>338</v>
      </c>
    </row>
    <row r="40" spans="2:15" x14ac:dyDescent="0.3">
      <c r="B40" s="4">
        <v>2024</v>
      </c>
      <c r="C40" s="1">
        <v>140</v>
      </c>
      <c r="D40" s="9">
        <v>478</v>
      </c>
    </row>
    <row r="41" spans="2:15" x14ac:dyDescent="0.3">
      <c r="B41" s="4">
        <v>2025</v>
      </c>
      <c r="C41" s="1">
        <v>456</v>
      </c>
      <c r="D41" s="9">
        <v>934</v>
      </c>
    </row>
    <row r="42" spans="2:15" x14ac:dyDescent="0.3">
      <c r="B42" s="4">
        <v>2026</v>
      </c>
      <c r="C42" s="1">
        <v>231</v>
      </c>
      <c r="D42" s="9">
        <v>1165</v>
      </c>
    </row>
    <row r="45" spans="2:15" x14ac:dyDescent="0.3">
      <c r="M45" t="s">
        <v>31</v>
      </c>
      <c r="N45" t="s">
        <v>32</v>
      </c>
    </row>
    <row r="46" spans="2:15" x14ac:dyDescent="0.3">
      <c r="G46" s="1" t="s">
        <v>0</v>
      </c>
      <c r="H46" s="1" t="s">
        <v>41</v>
      </c>
      <c r="I46" s="9" t="s">
        <v>37</v>
      </c>
      <c r="J46" s="19" t="s">
        <v>32</v>
      </c>
      <c r="M46" s="27">
        <v>2026</v>
      </c>
      <c r="N46" s="17">
        <v>0.43</v>
      </c>
      <c r="O46" t="s">
        <v>33</v>
      </c>
    </row>
    <row r="47" spans="2:15" x14ac:dyDescent="0.3">
      <c r="G47" s="4">
        <v>2023</v>
      </c>
      <c r="H47" s="23">
        <v>45078</v>
      </c>
      <c r="I47" s="9" t="s">
        <v>38</v>
      </c>
      <c r="J47" s="18">
        <v>0.28000000000000003</v>
      </c>
      <c r="M47" s="27"/>
      <c r="N47" s="17">
        <v>0.18</v>
      </c>
      <c r="O47" t="s">
        <v>34</v>
      </c>
    </row>
    <row r="48" spans="2:15" x14ac:dyDescent="0.3">
      <c r="G48" s="4">
        <v>2023</v>
      </c>
      <c r="H48" s="23">
        <v>45139</v>
      </c>
      <c r="I48" s="9" t="s">
        <v>39</v>
      </c>
      <c r="J48" s="18">
        <v>0.3</v>
      </c>
      <c r="M48" s="27"/>
      <c r="N48" s="17">
        <v>0.06</v>
      </c>
      <c r="O48" t="s">
        <v>35</v>
      </c>
    </row>
    <row r="49" spans="7:15" x14ac:dyDescent="0.3">
      <c r="G49" s="16">
        <v>2025</v>
      </c>
      <c r="H49" s="24">
        <v>45717</v>
      </c>
      <c r="I49" s="20" t="s">
        <v>40</v>
      </c>
      <c r="J49" s="21">
        <v>0.42</v>
      </c>
      <c r="M49" s="27"/>
      <c r="N49" s="17">
        <v>0.33</v>
      </c>
      <c r="O49" t="s">
        <v>36</v>
      </c>
    </row>
    <row r="50" spans="7:15" x14ac:dyDescent="0.3">
      <c r="G50" s="22"/>
      <c r="H50" s="22"/>
      <c r="I50" s="22"/>
      <c r="J50" s="22"/>
    </row>
    <row r="51" spans="7:15" ht="12" customHeight="1" x14ac:dyDescent="0.3"/>
    <row r="69" spans="2:3" ht="15.6" x14ac:dyDescent="0.3">
      <c r="B69" s="8" t="s">
        <v>10</v>
      </c>
    </row>
    <row r="71" spans="2:3" x14ac:dyDescent="0.3">
      <c r="B71" s="2" t="s">
        <v>18</v>
      </c>
      <c r="C71" s="26">
        <v>1160</v>
      </c>
    </row>
    <row r="72" spans="2:3" x14ac:dyDescent="0.3">
      <c r="B72" s="2" t="s">
        <v>11</v>
      </c>
      <c r="C72" s="30" t="s">
        <v>42</v>
      </c>
    </row>
    <row r="73" spans="2:3" x14ac:dyDescent="0.3">
      <c r="B73" s="2" t="s">
        <v>12</v>
      </c>
      <c r="C73" s="26">
        <f>INDEX(B4:B9,MATCH(MAX(D4:D9),D4:D9,0))</f>
        <v>2025</v>
      </c>
    </row>
  </sheetData>
  <mergeCells count="2">
    <mergeCell ref="M46:M49"/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TM16400963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Ministerio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2019-03-19T17:18:55Z</dcterms:created>
  <dcterms:modified xsi:type="dcterms:W3CDTF">2026-07-10T03:17:28Z</dcterms:modified>
</cp:coreProperties>
</file>